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7df66a2584e99" /><Relationship Type="http://schemas.openxmlformats.org/package/2006/relationships/metadata/core-properties" Target="/docProps/core.xml" Id="Rf4e87deceef448a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Detail Demographics" sheetId="1" r:id="Recb18341aa0e4994"/>
  </x:sheets>
</x:workbook>
</file>

<file path=xl/sharedStrings.xml><?xml version="1.0" encoding="utf-8"?>
<x:sst xmlns:x="http://schemas.openxmlformats.org/spreadsheetml/2006/main" count="112" uniqueCount="112">
  <x:si>
    <x:t>Radius</x:t>
  </x:si>
  <x:si>
    <x:t>1 mile</x:t>
  </x:si>
  <x:si>
    <x:t>3 miles</x:t>
  </x:si>
  <x:si>
    <x:t>5 miles</x:t>
  </x:si>
  <x:si>
    <x:t>Population</x:t>
  </x:si>
  <x:si>
    <x:t>2020 Population</x:t>
  </x:si>
  <x:si>
    <x:t>2025 Population</x:t>
  </x:si>
  <x:si>
    <x:t>2030 Population Projection</x:t>
  </x:si>
  <x:si>
    <x:t>Annual Growth 2020-2025</x:t>
  </x:si>
  <x:si>
    <x:t>Annual Growth 2025-2030</x:t>
  </x:si>
  <x:si>
    <x:t>Households</x:t>
  </x:si>
  <x:si>
    <x:t>2020 Households</x:t>
  </x:si>
  <x:si>
    <x:t>2025 Households</x:t>
  </x:si>
  <x:si>
    <x:t>2030 Household Projection</x:t>
  </x:si>
  <x:si>
    <x:t>Avg Household Size</x:t>
  </x:si>
  <x:si>
    <x:t>Avg Household Vehicles</x:t>
  </x:si>
  <x:si>
    <x:t>Housing</x:t>
  </x:si>
  <x:si>
    <x:t>Median Home Value</x:t>
  </x:si>
  <x:si>
    <x:t>Median Year Built</x:t>
  </x:si>
  <x:si>
    <x:t>Owner Occupied Households</x:t>
  </x:si>
  <x:si>
    <x:t>Renter Occupied Households</x:t>
  </x:si>
  <x:si>
    <x:t>Households By Income</x:t>
  </x:si>
  <x:si>
    <x:t>&lt; $25,000</x:t>
  </x:si>
  <x:si>
    <x:t>$25,000 - 50,000</x:t>
  </x:si>
  <x:si>
    <x:t>$50,000 - 75,000</x:t>
  </x:si>
  <x:si>
    <x:t>$75,000 - 100,000</x:t>
  </x:si>
  <x:si>
    <x:t>$100,000 - 125,000</x:t>
  </x:si>
  <x:si>
    <x:t>$125,000 - 150,000</x:t>
  </x:si>
  <x:si>
    <x:t>$150,000 - 200,000</x:t>
  </x:si>
  <x:si>
    <x:t>$200,000+</x:t>
  </x:si>
  <x:si>
    <x:t>Avg Household Income</x:t>
  </x:si>
  <x:si>
    <x:t>Median Household Income</x:t>
  </x:si>
  <x:si>
    <x:t>Population By Age</x:t>
  </x:si>
  <x:si>
    <x:t>Age 0 - 4</x:t>
  </x:si>
  <x:si>
    <x:t>Age 5 - 9</x:t>
  </x:si>
  <x:si>
    <x:t>Age 10 - 14</x:t>
  </x:si>
  <x:si>
    <x:t>Age 15 - 19</x:t>
  </x:si>
  <x:si>
    <x:t>Age 20 - 24</x:t>
  </x:si>
  <x:si>
    <x:t>Age 25 - 29</x:t>
  </x:si>
  <x:si>
    <x:t>Age 30 - 34</x:t>
  </x:si>
  <x:si>
    <x:t>Age 35 - 39</x:t>
  </x:si>
  <x:si>
    <x:t>Age 40 - 44</x:t>
  </x:si>
  <x:si>
    <x:t>Age 45 - 49</x:t>
  </x:si>
  <x:si>
    <x:t>Age 50 - 54</x:t>
  </x:si>
  <x:si>
    <x:t>Age 55 - 59</x:t>
  </x:si>
  <x:si>
    <x:t>Age 60 - 64</x:t>
  </x:si>
  <x:si>
    <x:t>Age 65 - 69</x:t>
  </x:si>
  <x:si>
    <x:t>Age 70 - 74</x:t>
  </x:si>
  <x:si>
    <x:t>Age 75 - 79</x:t>
  </x:si>
  <x:si>
    <x:t>Age 80 - 84</x:t>
  </x:si>
  <x:si>
    <x:t>Age 85+</x:t>
  </x:si>
  <x:si>
    <x:t>Population Summary</x:t>
  </x:si>
  <x:si>
    <x:t>Age 15+</x:t>
  </x:si>
  <x:si>
    <x:t>Age 20+</x:t>
  </x:si>
  <x:si>
    <x:t>Age 55+</x:t>
  </x:si>
  <x:si>
    <x:t>Age 65+</x:t>
  </x:si>
  <x:si>
    <x:t>Median Age</x:t>
  </x:si>
  <x:si>
    <x:t>Avg Age</x:t>
  </x:si>
  <x:si>
    <x:t>Median Age, Male</x:t>
  </x:si>
  <x:si>
    <x:t>Avg Age, Male</x:t>
  </x:si>
  <x:si>
    <x:t>Median Age, Female</x:t>
  </x:si>
  <x:si>
    <x:t>Avg Age, Female</x:t>
  </x:si>
  <x:si>
    <x:t>Education</x:t>
  </x:si>
  <x:si>
    <x:t>Some High School, No Diploma</x:t>
  </x:si>
  <x:si>
    <x:t>High School Graduate</x:t>
  </x:si>
  <x:si>
    <x:t>Some College, No Degree</x:t>
  </x:si>
  <x:si>
    <x:t>Associate Degree</x:t>
  </x:si>
  <x:si>
    <x:t>Bachelor's Degree</x:t>
  </x:si>
  <x:si>
    <x:t>Advanced Degree</x:t>
  </x:si>
  <x:si>
    <x:t>Employment</x:t>
  </x:si>
  <x:si>
    <x:t>Civilian Employed</x:t>
  </x:si>
  <x:si>
    <x:t>Civilian Unemployed</x:t>
  </x:si>
  <x:si>
    <x:t>Civilian Non-Labor Force</x:t>
  </x:si>
  <x:si>
    <x:t>U.S. Armed Forces</x:t>
  </x:si>
  <x:si>
    <x:t>Worker Travel Time To Job</x:t>
  </x:si>
  <x:si>
    <x:t>&lt;30 Minutes</x:t>
  </x:si>
  <x:si>
    <x:t>30-60 Minutes</x:t>
  </x:si>
  <x:si>
    <x:t>60+ Minutes</x:t>
  </x:si>
  <x:si>
    <x:t>Household Composition</x:t>
  </x:si>
  <x:si>
    <x:t>1-Person Households</x:t>
  </x:si>
  <x:si>
    <x:t>2-Person Households</x:t>
  </x:si>
  <x:si>
    <x:t>3-Person Households</x:t>
  </x:si>
  <x:si>
    <x:t>4-Person Households</x:t>
  </x:si>
  <x:si>
    <x:t>5-Person Households</x:t>
  </x:si>
  <x:si>
    <x:t>6-Person Households</x:t>
  </x:si>
  <x:si>
    <x:t>7-Person Households</x:t>
  </x:si>
  <x:si>
    <x:t>Marital Status</x:t>
  </x:si>
  <x:si>
    <x:t>Married</x:t>
  </x:si>
  <x:si>
    <x:t>Married No Children</x:t>
  </x:si>
  <x:si>
    <x:t>Married with Children</x:t>
  </x:si>
  <x:si>
    <x:t>Housing Units</x:t>
  </x:si>
  <x:si>
    <x:t>1 Unit</x:t>
  </x:si>
  <x:si>
    <x:t>2 - 4 Units</x:t>
  </x:si>
  <x:si>
    <x:t>5 - 19 Units</x:t>
  </x:si>
  <x:si>
    <x:t>20+ Units</x:t>
  </x:si>
  <x:si>
    <x:t>Housing Value</x:t>
  </x:si>
  <x:si>
    <x:t>&lt; $100,000</x:t>
  </x:si>
  <x:si>
    <x:t>$100,000 - 200,000</x:t>
  </x:si>
  <x:si>
    <x:t>$200,000 - 300,000</x:t>
  </x:si>
  <x:si>
    <x:t>$300,000 - 400,000</x:t>
  </x:si>
  <x:si>
    <x:t>$400,000 - 500,000</x:t>
  </x:si>
  <x:si>
    <x:t>$500,000 - 1,000,000</x:t>
  </x:si>
  <x:si>
    <x:t>$1,000,000+</x:t>
  </x:si>
  <x:si>
    <x:t>Housing By Year Built</x:t>
  </x:si>
  <x:si>
    <x:t>Built 1940 - 1949</x:t>
  </x:si>
  <x:si>
    <x:t>Built 1950 - 1959</x:t>
  </x:si>
  <x:si>
    <x:t>Built 1960 - 1969</x:t>
  </x:si>
  <x:si>
    <x:t>Built 1970 - 1979</x:t>
  </x:si>
  <x:si>
    <x:t>Built 1980 - 1989</x:t>
  </x:si>
  <x:si>
    <x:t>Built 1990 - 1999</x:t>
  </x:si>
  <x:si>
    <x:t>Built 2000 - 2010</x:t>
  </x:si>
  <x:si>
    <x:t>Built 2010+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</x:si>
</x:sst>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##,###,###,##0.00_);[Red](##,###,###,##0.00)"/>
    <x:numFmt numFmtId="167" formatCode="\$##,###,###,##0_);[Red](\$##,###,###,##0)"/>
  </x:numFmts>
  <x:fonts count="4">
    <x:font>
      <x:sz val="11"/>
      <x:color theme="1"/>
      <x:name val="Calibri"/>
      <x:scheme val="minor"/>
    </x:font>
    <x:font>
      <x:sz val="11"/>
      <x:name val="Calibri"/>
    </x:font>
    <x:font>
      <x:b/>
      <x:color rgb="FF000000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5F5F5"/>
        <x:bgColor theme="4"/>
      </x:patternFill>
    </x:fill>
    <x:fill>
      <x:patternFill patternType="solid">
        <x:fgColor rgb="FFFFFFFF"/>
        <x:bgColor theme="4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1" xfId="0" applyFont="1" applyFill="1" applyBorder="1" applyAlignment="1">
      <x:alignment horizontal="left" vertical="bottom"/>
    </x:xf>
    <x:xf numFmtId="0" fontId="2" fillId="2" borderId="1" xfId="0" applyFont="1" applyFill="1" applyBorder="1" applyAlignment="1">
      <x:alignment horizontal="right" vertical="bottom"/>
    </x:xf>
    <x:xf numFmtId="0" fontId="0" fillId="3" borderId="1" xfId="0" applyFill="1" applyBorder="1" applyAlignment="1">
      <x:alignment horizontal="general" vertical="bottom"/>
    </x:xf>
    <x:xf numFmtId="0" fontId="3" fillId="2" borderId="1" xfId="0" applyFont="1" applyFill="1" applyBorder="1" applyAlignment="1">
      <x:alignment horizontal="left" vertical="bottom"/>
    </x:xf>
    <x:xf numFmtId="0" fontId="0" fillId="4" borderId="1" xfId="0" applyFill="1" applyBorder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4" borderId="1" xfId="0" applyFill="1" applyBorder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4" borderId="1" xfId="0" applyNumberFormat="1" applyFill="1" applyBorder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4" borderId="1" xfId="0" applyNumberFormat="1" applyFill="1" applyBorder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4" borderId="1" xfId="0" applyNumberFormat="1" applyFill="1" applyBorder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4" borderId="1" xfId="0" applyNumberFormat="1" applyFill="1" applyBorder="1" applyAlignment="1">
      <x:alignment horizontal="right" vertical="bottom"/>
    </x:xf>
    <x:xf numFmtId="0" fontId="0" fillId="0" borderId="0" xfId="0" applyAlignment="1">
      <x:alignment horizontal="right" vertical="bottom"/>
    </x:xf>
    <x:xf numFmtId="0" fontId="0" fillId="4" borderId="1" xfId="0" applyFill="1" applyBorder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b18341aa0e4994" /><Relationship Type="http://schemas.openxmlformats.org/officeDocument/2006/relationships/theme" Target="/xl/theme/theme1.xml" Id="R2a381ce946694e5e" /><Relationship Type="http://schemas.openxmlformats.org/officeDocument/2006/relationships/styles" Target="/xl/styles.xml" Id="Rc9c9a30374fc4994" /><Relationship Type="http://schemas.openxmlformats.org/officeDocument/2006/relationships/sharedStrings" Target="/xl/sharedStrings.xml" Id="R6c762473347b46c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D111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28.140625" bestFit="1" customWidth="1"/>
    <x:col min="2" max="4" width="11.5703125" bestFit="1" customWidth="1"/>
  </x:cols>
  <x:sheetData>
    <x:row r="1" s="2" customFormat="1">
      <x:c r="A1" s="2" t="s">
        <x:v>0</x:v>
      </x:c>
      <x:c r="B1" s="3" t="s">
        <x:v>1</x:v>
      </x:c>
      <x:c r="C1" s="3" t="s">
        <x:v>2</x:v>
      </x:c>
      <x:c r="D1" s="3" t="s">
        <x:v>3</x:v>
      </x:c>
    </x:row>
    <x:row r="2" s="4" customFormat="1">
      <x:c r="A2" s="5" t="s">
        <x:v>4</x:v>
      </x:c>
      <x:c r="B2" s="5"/>
      <x:c r="C2" s="5"/>
      <x:c r="D2" s="5"/>
    </x:row>
    <x:row r="3" s="6" customFormat="1">
      <x:c r="A3" s="8" t="s">
        <x:v>5</x:v>
      </x:c>
      <x:c r="B3" s="10">
        <x:v>56155</x:v>
      </x:c>
      <x:c r="C3" s="10">
        <x:v>351733</x:v>
      </x:c>
      <x:c r="D3" s="10">
        <x:v>946228</x:v>
      </x:c>
    </x:row>
    <x:row r="4" s="6" customFormat="1">
      <x:c r="A4" s="8" t="s">
        <x:v>6</x:v>
      </x:c>
      <x:c r="B4" s="10">
        <x:v>61927</x:v>
      </x:c>
      <x:c r="C4" s="10">
        <x:v>357775</x:v>
      </x:c>
      <x:c r="D4" s="10">
        <x:v>948020</x:v>
      </x:c>
    </x:row>
    <x:row r="5" s="6" customFormat="1">
      <x:c r="A5" s="8" t="s">
        <x:v>7</x:v>
      </x:c>
      <x:c r="B5" s="10">
        <x:v>63208</x:v>
      </x:c>
      <x:c r="C5" s="10">
        <x:v>358840</x:v>
      </x:c>
      <x:c r="D5" s="10">
        <x:v>947553</x:v>
      </x:c>
    </x:row>
    <x:row r="6" s="6" customFormat="1">
      <x:c r="A6" s="8" t="s">
        <x:v>8</x:v>
      </x:c>
      <x:c r="B6" s="12">
        <x:v>0.021</x:v>
      </x:c>
      <x:c r="C6" s="12">
        <x:v>0.003</x:v>
      </x:c>
      <x:c r="D6" s="12">
        <x:v>0</x:v>
      </x:c>
    </x:row>
    <x:row r="7" s="6" customFormat="1">
      <x:c r="A7" s="8" t="s">
        <x:v>9</x:v>
      </x:c>
      <x:c r="B7" s="12">
        <x:v>0.004</x:v>
      </x:c>
      <x:c r="C7" s="12">
        <x:v>0.001</x:v>
      </x:c>
      <x:c r="D7" s="12">
        <x:v>0</x:v>
      </x:c>
    </x:row>
    <x:row r="8" s="4" customFormat="1">
      <x:c r="A8" s="5" t="s">
        <x:v>10</x:v>
      </x:c>
      <x:c r="B8" s="5"/>
      <x:c r="C8" s="5"/>
      <x:c r="D8" s="5"/>
    </x:row>
    <x:row r="9" s="6" customFormat="1">
      <x:c r="A9" s="8" t="s">
        <x:v>11</x:v>
      </x:c>
      <x:c r="B9" s="10">
        <x:v>29526</x:v>
      </x:c>
      <x:c r="C9" s="10">
        <x:v>172217</x:v>
      </x:c>
      <x:c r="D9" s="10">
        <x:v>420033</x:v>
      </x:c>
    </x:row>
    <x:row r="10" s="6" customFormat="1">
      <x:c r="A10" s="8" t="s">
        <x:v>12</x:v>
      </x:c>
      <x:c r="B10" s="10">
        <x:v>32474</x:v>
      </x:c>
      <x:c r="C10" s="10">
        <x:v>173746</x:v>
      </x:c>
      <x:c r="D10" s="10">
        <x:v>418520</x:v>
      </x:c>
    </x:row>
    <x:row r="11" s="6" customFormat="1">
      <x:c r="A11" s="8" t="s">
        <x:v>13</x:v>
      </x:c>
      <x:c r="B11" s="10">
        <x:v>33125</x:v>
      </x:c>
      <x:c r="C11" s="10">
        <x:v>173926</x:v>
      </x:c>
      <x:c r="D11" s="10">
        <x:v>417746</x:v>
      </x:c>
    </x:row>
    <x:row r="12" s="6" customFormat="1">
      <x:c r="A12" s="8" t="s">
        <x:v>8</x:v>
      </x:c>
      <x:c r="B12" s="12">
        <x:v>0.026</x:v>
      </x:c>
      <x:c r="C12" s="12">
        <x:v>0.013</x:v>
      </x:c>
      <x:c r="D12" s="12">
        <x:v>0.011</x:v>
      </x:c>
    </x:row>
    <x:row r="13" s="6" customFormat="1">
      <x:c r="A13" s="8" t="s">
        <x:v>9</x:v>
      </x:c>
      <x:c r="B13" s="12">
        <x:v>0.004</x:v>
      </x:c>
      <x:c r="C13" s="12">
        <x:v>0</x:v>
      </x:c>
      <x:c r="D13" s="12">
        <x:v>0</x:v>
      </x:c>
    </x:row>
    <x:row r="14" s="6" customFormat="1">
      <x:c r="A14" s="8" t="s">
        <x:v>14</x:v>
      </x:c>
      <x:c r="B14" s="14">
        <x:v>1.8</x:v>
      </x:c>
      <x:c r="C14" s="14">
        <x:v>2</x:v>
      </x:c>
      <x:c r="D14" s="14">
        <x:v>2.2</x:v>
      </x:c>
    </x:row>
    <x:row r="15" s="6" customFormat="1">
      <x:c r="A15" s="8" t="s">
        <x:v>15</x:v>
      </x:c>
      <x:c r="B15" s="14">
        <x:v>1</x:v>
      </x:c>
      <x:c r="C15" s="14">
        <x:v>1</x:v>
      </x:c>
      <x:c r="D15" s="14">
        <x:v>1</x:v>
      </x:c>
    </x:row>
    <x:row r="16" s="4" customFormat="1">
      <x:c r="A16" s="5" t="s">
        <x:v>16</x:v>
      </x:c>
      <x:c r="B16" s="5"/>
      <x:c r="C16" s="5"/>
      <x:c r="D16" s="5"/>
    </x:row>
    <x:row r="17" s="6" customFormat="1">
      <x:c r="A17" s="8" t="s">
        <x:v>17</x:v>
      </x:c>
      <x:c r="B17" s="16">
        <x:v>1088308</x:v>
      </x:c>
      <x:c r="C17" s="16">
        <x:v>1094438</x:v>
      </x:c>
      <x:c r="D17" s="16">
        <x:v>1081829</x:v>
      </x:c>
    </x:row>
    <x:row r="18" s="6" customFormat="1">
      <x:c r="A18" s="8" t="s">
        <x:v>18</x:v>
      </x:c>
      <x:c r="B18" s="18">
        <x:f>YEAR(DATE(1969, 1, 1))</x:f>
      </x:c>
      <x:c r="C18" s="18">
        <x:f>YEAR(DATE(1962, 1, 1))</x:f>
      </x:c>
      <x:c r="D18" s="18">
        <x:f>YEAR(DATE(1961, 1, 1))</x:f>
      </x:c>
    </x:row>
    <x:row r="19" s="6" customFormat="1">
      <x:c r="A19" s="8" t="s">
        <x:v>19</x:v>
      </x:c>
      <x:c r="B19" s="10">
        <x:v>3129</x:v>
      </x:c>
      <x:c r="C19" s="10">
        <x:v>29124</x:v>
      </x:c>
      <x:c r="D19" s="10">
        <x:v>84206</x:v>
      </x:c>
    </x:row>
    <x:row r="20" s="6" customFormat="1">
      <x:c r="A20" s="8" t="s">
        <x:v>20</x:v>
      </x:c>
      <x:c r="B20" s="10">
        <x:v>29996</x:v>
      </x:c>
      <x:c r="C20" s="10">
        <x:v>144802</x:v>
      </x:c>
      <x:c r="D20" s="10">
        <x:v>333540</x:v>
      </x:c>
    </x:row>
    <x:row r="21" s="4" customFormat="1">
      <x:c r="A21" s="5" t="s">
        <x:v>21</x:v>
      </x:c>
      <x:c r="B21" s="5"/>
      <x:c r="C21" s="5"/>
      <x:c r="D21" s="5"/>
    </x:row>
    <x:row r="22" s="6" customFormat="1">
      <x:c r="A22" s="8" t="s">
        <x:v>22</x:v>
      </x:c>
      <x:c r="B22" s="10">
        <x:v>7030</x:v>
      </x:c>
      <x:c r="C22" s="10">
        <x:v>31800</x:v>
      </x:c>
      <x:c r="D22" s="10">
        <x:v>77929</x:v>
      </x:c>
    </x:row>
    <x:row r="23" s="6" customFormat="1">
      <x:c r="A23" s="8" t="s">
        <x:v>23</x:v>
      </x:c>
      <x:c r="B23" s="10">
        <x:v>5436</x:v>
      </x:c>
      <x:c r="C23" s="10">
        <x:v>28056</x:v>
      </x:c>
      <x:c r="D23" s="10">
        <x:v>68678</x:v>
      </x:c>
    </x:row>
    <x:row r="24" s="6" customFormat="1">
      <x:c r="A24" s="8" t="s">
        <x:v>24</x:v>
      </x:c>
      <x:c r="B24" s="10">
        <x:v>6047</x:v>
      </x:c>
      <x:c r="C24" s="10">
        <x:v>26600</x:v>
      </x:c>
      <x:c r="D24" s="10">
        <x:v>62669</x:v>
      </x:c>
    </x:row>
    <x:row r="25" s="6" customFormat="1">
      <x:c r="A25" s="8" t="s">
        <x:v>25</x:v>
      </x:c>
      <x:c r="B25" s="10">
        <x:v>3674</x:v>
      </x:c>
      <x:c r="C25" s="10">
        <x:v>19474</x:v>
      </x:c>
      <x:c r="D25" s="10">
        <x:v>47552</x:v>
      </x:c>
    </x:row>
    <x:row r="26" s="6" customFormat="1">
      <x:c r="A26" s="8" t="s">
        <x:v>26</x:v>
      </x:c>
      <x:c r="B26" s="10">
        <x:v>3022</x:v>
      </x:c>
      <x:c r="C26" s="10">
        <x:v>15960</x:v>
      </x:c>
      <x:c r="D26" s="10">
        <x:v>37430</x:v>
      </x:c>
    </x:row>
    <x:row r="27" s="6" customFormat="1">
      <x:c r="A27" s="8" t="s">
        <x:v>27</x:v>
      </x:c>
      <x:c r="B27" s="10">
        <x:v>1941</x:v>
      </x:c>
      <x:c r="C27" s="10">
        <x:v>10728</x:v>
      </x:c>
      <x:c r="D27" s="10">
        <x:v>25337</x:v>
      </x:c>
    </x:row>
    <x:row r="28" s="6" customFormat="1">
      <x:c r="A28" s="8" t="s">
        <x:v>28</x:v>
      </x:c>
      <x:c r="B28" s="10">
        <x:v>1973</x:v>
      </x:c>
      <x:c r="C28" s="10">
        <x:v>14319</x:v>
      </x:c>
      <x:c r="D28" s="10">
        <x:v>34925</x:v>
      </x:c>
    </x:row>
    <x:row r="29" s="6" customFormat="1">
      <x:c r="A29" s="8" t="s">
        <x:v>29</x:v>
      </x:c>
      <x:c r="B29" s="10">
        <x:v>3350</x:v>
      </x:c>
      <x:c r="C29" s="10">
        <x:v>26809</x:v>
      </x:c>
      <x:c r="D29" s="10">
        <x:v>63999</x:v>
      </x:c>
    </x:row>
    <x:row r="30" s="6" customFormat="1">
      <x:c r="A30" s="8" t="s">
        <x:v>30</x:v>
      </x:c>
      <x:c r="B30" s="16">
        <x:v>91640</x:v>
      </x:c>
      <x:c r="C30" s="16">
        <x:v>108799</x:v>
      </x:c>
      <x:c r="D30" s="16">
        <x:v>108192</x:v>
      </x:c>
    </x:row>
    <x:row r="31" s="6" customFormat="1">
      <x:c r="A31" s="8" t="s">
        <x:v>31</x:v>
      </x:c>
      <x:c r="B31" s="16">
        <x:v>65410</x:v>
      </x:c>
      <x:c r="C31" s="16">
        <x:v>75535</x:v>
      </x:c>
      <x:c r="D31" s="16">
        <x:v>74992</x:v>
      </x:c>
    </x:row>
    <x:row r="32" s="4" customFormat="1">
      <x:c r="A32" s="5" t="s">
        <x:v>32</x:v>
      </x:c>
      <x:c r="B32" s="5"/>
      <x:c r="C32" s="5"/>
      <x:c r="D32" s="5"/>
    </x:row>
    <x:row r="33" s="6" customFormat="1">
      <x:c r="A33" s="8" t="s">
        <x:v>33</x:v>
      </x:c>
      <x:c r="B33" s="10">
        <x:v>3869</x:v>
      </x:c>
      <x:c r="C33" s="10">
        <x:v>21817</x:v>
      </x:c>
      <x:c r="D33" s="10">
        <x:v>56385</x:v>
      </x:c>
    </x:row>
    <x:row r="34" s="6" customFormat="1">
      <x:c r="A34" s="8" t="s">
        <x:v>34</x:v>
      </x:c>
      <x:c r="B34" s="10">
        <x:v>2457</x:v>
      </x:c>
      <x:c r="C34" s="10">
        <x:v>15874</x:v>
      </x:c>
      <x:c r="D34" s="10">
        <x:v>44923</x:v>
      </x:c>
    </x:row>
    <x:row r="35" s="6" customFormat="1">
      <x:c r="A35" s="8" t="s">
        <x:v>35</x:v>
      </x:c>
      <x:c r="B35" s="10">
        <x:v>1762</x:v>
      </x:c>
      <x:c r="C35" s="10">
        <x:v>13109</x:v>
      </x:c>
      <x:c r="D35" s="10">
        <x:v>41021</x:v>
      </x:c>
    </x:row>
    <x:row r="36" s="6" customFormat="1">
      <x:c r="A36" s="8" t="s">
        <x:v>36</x:v>
      </x:c>
      <x:c r="B36" s="10">
        <x:v>1795</x:v>
      </x:c>
      <x:c r="C36" s="10">
        <x:v>12481</x:v>
      </x:c>
      <x:c r="D36" s="10">
        <x:v>40330</x:v>
      </x:c>
    </x:row>
    <x:row r="37" s="6" customFormat="1">
      <x:c r="A37" s="8" t="s">
        <x:v>37</x:v>
      </x:c>
      <x:c r="B37" s="10">
        <x:v>2886</x:v>
      </x:c>
      <x:c r="C37" s="10">
        <x:v>15118</x:v>
      </x:c>
      <x:c r="D37" s="10">
        <x:v>45003</x:v>
      </x:c>
    </x:row>
    <x:row r="38" s="6" customFormat="1">
      <x:c r="A38" s="8" t="s">
        <x:v>38</x:v>
      </x:c>
      <x:c r="B38" s="10">
        <x:v>5097</x:v>
      </x:c>
      <x:c r="C38" s="10">
        <x:v>24816</x:v>
      </x:c>
      <x:c r="D38" s="10">
        <x:v>64769</x:v>
      </x:c>
    </x:row>
    <x:row r="39" s="6" customFormat="1">
      <x:c r="A39" s="8" t="s">
        <x:v>39</x:v>
      </x:c>
      <x:c r="B39" s="10">
        <x:v>7279</x:v>
      </x:c>
      <x:c r="C39" s="10">
        <x:v>36614</x:v>
      </x:c>
      <x:c r="D39" s="10">
        <x:v>89213</x:v>
      </x:c>
    </x:row>
    <x:row r="40" s="6" customFormat="1">
      <x:c r="A40" s="8" t="s">
        <x:v>40</x:v>
      </x:c>
      <x:c r="B40" s="10">
        <x:v>7438</x:v>
      </x:c>
      <x:c r="C40" s="10">
        <x:v>39064</x:v>
      </x:c>
      <x:c r="D40" s="10">
        <x:v>94008</x:v>
      </x:c>
    </x:row>
    <x:row r="41" s="6" customFormat="1">
      <x:c r="A41" s="8" t="s">
        <x:v>41</x:v>
      </x:c>
      <x:c r="B41" s="10">
        <x:v>6142</x:v>
      </x:c>
      <x:c r="C41" s="10">
        <x:v>33963</x:v>
      </x:c>
      <x:c r="D41" s="10">
        <x:v>83413</x:v>
      </x:c>
    </x:row>
    <x:row r="42" s="6" customFormat="1">
      <x:c r="A42" s="8" t="s">
        <x:v>42</x:v>
      </x:c>
      <x:c r="B42" s="10">
        <x:v>4724</x:v>
      </x:c>
      <x:c r="C42" s="10">
        <x:v>27459</x:v>
      </x:c>
      <x:c r="D42" s="10">
        <x:v>69826</x:v>
      </x:c>
    </x:row>
    <x:row r="43" s="6" customFormat="1">
      <x:c r="A43" s="8" t="s">
        <x:v>43</x:v>
      </x:c>
      <x:c r="B43" s="10">
        <x:v>3939</x:v>
      </x:c>
      <x:c r="C43" s="10">
        <x:v>23753</x:v>
      </x:c>
      <x:c r="D43" s="10">
        <x:v>62179</x:v>
      </x:c>
    </x:row>
    <x:row r="44" s="6" customFormat="1">
      <x:c r="A44" s="8" t="s">
        <x:v>44</x:v>
      </x:c>
      <x:c r="B44" s="10">
        <x:v>3396</x:v>
      </x:c>
      <x:c r="C44" s="10">
        <x:v>21120</x:v>
      </x:c>
      <x:c r="D44" s="10">
        <x:v>56335</x:v>
      </x:c>
    </x:row>
    <x:row r="45" s="6" customFormat="1">
      <x:c r="A45" s="8" t="s">
        <x:v>45</x:v>
      </x:c>
      <x:c r="B45" s="10">
        <x:v>3004</x:v>
      </x:c>
      <x:c r="C45" s="10">
        <x:v>19192</x:v>
      </x:c>
      <x:c r="D45" s="10">
        <x:v>52046</x:v>
      </x:c>
    </x:row>
    <x:row r="46" s="6" customFormat="1">
      <x:c r="A46" s="8" t="s">
        <x:v>46</x:v>
      </x:c>
      <x:c r="B46" s="10">
        <x:v>2591</x:v>
      </x:c>
      <x:c r="C46" s="10">
        <x:v>16835</x:v>
      </x:c>
      <x:c r="D46" s="10">
        <x:v>46306</x:v>
      </x:c>
    </x:row>
    <x:row r="47" s="6" customFormat="1">
      <x:c r="A47" s="8" t="s">
        <x:v>47</x:v>
      </x:c>
      <x:c r="B47" s="10">
        <x:v>2068</x:v>
      </x:c>
      <x:c r="C47" s="10">
        <x:v>13450</x:v>
      </x:c>
      <x:c r="D47" s="10">
        <x:v>37229</x:v>
      </x:c>
    </x:row>
    <x:row r="48" s="6" customFormat="1">
      <x:c r="A48" s="8" t="s">
        <x:v>48</x:v>
      </x:c>
      <x:c r="B48" s="10">
        <x:v>1511</x:v>
      </x:c>
      <x:c r="C48" s="10">
        <x:v>9846</x:v>
      </x:c>
      <x:c r="D48" s="10">
        <x:v>27528</x:v>
      </x:c>
    </x:row>
    <x:row r="49" s="6" customFormat="1">
      <x:c r="A49" s="8" t="s">
        <x:v>49</x:v>
      </x:c>
      <x:c r="B49" s="10">
        <x:v>999</x:v>
      </x:c>
      <x:c r="C49" s="10">
        <x:v>6507</x:v>
      </x:c>
      <x:c r="D49" s="10">
        <x:v>18273</x:v>
      </x:c>
    </x:row>
    <x:row r="50" s="6" customFormat="1">
      <x:c r="A50" s="8" t="s">
        <x:v>50</x:v>
      </x:c>
      <x:c r="B50" s="10">
        <x:v>971</x:v>
      </x:c>
      <x:c r="C50" s="10">
        <x:v>6756</x:v>
      </x:c>
      <x:c r="D50" s="10">
        <x:v>19234</x:v>
      </x:c>
    </x:row>
    <x:row r="51" s="4" customFormat="1">
      <x:c r="A51" s="5" t="s">
        <x:v>51</x:v>
      </x:c>
      <x:c r="B51" s="5"/>
      <x:c r="C51" s="5"/>
      <x:c r="D51" s="5"/>
    </x:row>
    <x:row r="52" s="6" customFormat="1">
      <x:c r="A52" s="8" t="s">
        <x:v>52</x:v>
      </x:c>
      <x:c r="B52" s="10">
        <x:v>53840</x:v>
      </x:c>
      <x:c r="C52" s="10">
        <x:v>306974</x:v>
      </x:c>
      <x:c r="D52" s="10">
        <x:v>805692</x:v>
      </x:c>
    </x:row>
    <x:row r="53" s="6" customFormat="1">
      <x:c r="A53" s="8" t="s">
        <x:v>53</x:v>
      </x:c>
      <x:c r="B53" s="10">
        <x:v>52045</x:v>
      </x:c>
      <x:c r="C53" s="10">
        <x:v>294493</x:v>
      </x:c>
      <x:c r="D53" s="10">
        <x:v>765362</x:v>
      </x:c>
    </x:row>
    <x:row r="54" s="6" customFormat="1">
      <x:c r="A54" s="8" t="s">
        <x:v>54</x:v>
      </x:c>
      <x:c r="B54" s="10">
        <x:v>14540</x:v>
      </x:c>
      <x:c r="C54" s="10">
        <x:v>93706</x:v>
      </x:c>
      <x:c r="D54" s="10">
        <x:v>256951</x:v>
      </x:c>
    </x:row>
    <x:row r="55" s="6" customFormat="1">
      <x:c r="A55" s="8" t="s">
        <x:v>55</x:v>
      </x:c>
      <x:c r="B55" s="10">
        <x:v>8140</x:v>
      </x:c>
      <x:c r="C55" s="10">
        <x:v>53394</x:v>
      </x:c>
      <x:c r="D55" s="10">
        <x:v>148570</x:v>
      </x:c>
    </x:row>
    <x:row r="56" s="6" customFormat="1">
      <x:c r="A56" s="8" t="s">
        <x:v>56</x:v>
      </x:c>
      <x:c r="B56" s="14">
        <x:v>38.9</x:v>
      </x:c>
      <x:c r="C56" s="14">
        <x:v>40</x:v>
      </x:c>
      <x:c r="D56" s="14">
        <x:v>39.9</x:v>
      </x:c>
    </x:row>
    <x:row r="57" s="6" customFormat="1">
      <x:c r="A57" s="8" t="s">
        <x:v>57</x:v>
      </x:c>
      <x:c r="B57" s="14">
        <x:v>39.7</x:v>
      </x:c>
      <x:c r="C57" s="14">
        <x:v>40.5</x:v>
      </x:c>
      <x:c r="D57" s="14">
        <x:v>40.4</x:v>
      </x:c>
    </x:row>
    <x:row r="58" s="6" customFormat="1">
      <x:c r="A58" s="8" t="s">
        <x:v>58</x:v>
      </x:c>
      <x:c r="B58" s="14">
        <x:v>39.6</x:v>
      </x:c>
      <x:c r="C58" s="14">
        <x:v>40.4</x:v>
      </x:c>
      <x:c r="D58" s="14">
        <x:v>39.9</x:v>
      </x:c>
    </x:row>
    <x:row r="59" s="6" customFormat="1">
      <x:c r="A59" s="8" t="s">
        <x:v>59</x:v>
      </x:c>
      <x:c r="B59" s="14">
        <x:v>39.8</x:v>
      </x:c>
      <x:c r="C59" s="14">
        <x:v>40.2</x:v>
      </x:c>
      <x:c r="D59" s="14">
        <x:v>39.8</x:v>
      </x:c>
    </x:row>
    <x:row r="60" s="6" customFormat="1">
      <x:c r="A60" s="8" t="s">
        <x:v>60</x:v>
      </x:c>
      <x:c r="B60" s="14">
        <x:v>38.1</x:v>
      </x:c>
      <x:c r="C60" s="14">
        <x:v>39.6</x:v>
      </x:c>
      <x:c r="D60" s="14">
        <x:v>39.9</x:v>
      </x:c>
    </x:row>
    <x:row r="61" s="6" customFormat="1">
      <x:c r="A61" s="8" t="s">
        <x:v>61</x:v>
      </x:c>
      <x:c r="B61" s="14">
        <x:v>39.6</x:v>
      </x:c>
      <x:c r="C61" s="14">
        <x:v>40.8</x:v>
      </x:c>
      <x:c r="D61" s="14">
        <x:v>40.9</x:v>
      </x:c>
    </x:row>
    <x:row r="62" s="4" customFormat="1">
      <x:c r="A62" s="5" t="s">
        <x:v>62</x:v>
      </x:c>
      <x:c r="B62" s="5"/>
      <x:c r="C62" s="5"/>
      <x:c r="D62" s="5"/>
    </x:row>
    <x:row r="63" s="6" customFormat="1">
      <x:c r="A63" s="8" t="s">
        <x:v>63</x:v>
      </x:c>
      <x:c r="B63" s="10">
        <x:v>5884</x:v>
      </x:c>
      <x:c r="C63" s="10">
        <x:v>35697</x:v>
      </x:c>
      <x:c r="D63" s="10">
        <x:v>126515</x:v>
      </x:c>
    </x:row>
    <x:row r="64" s="6" customFormat="1">
      <x:c r="A64" s="8" t="s">
        <x:v>64</x:v>
      </x:c>
      <x:c r="B64" s="10">
        <x:v>8135</x:v>
      </x:c>
      <x:c r="C64" s="10">
        <x:v>42719</x:v>
      </x:c>
      <x:c r="D64" s="10">
        <x:v>115343</x:v>
      </x:c>
    </x:row>
    <x:row r="65" s="6" customFormat="1">
      <x:c r="A65" s="8" t="s">
        <x:v>65</x:v>
      </x:c>
      <x:c r="B65" s="10">
        <x:v>11061</x:v>
      </x:c>
      <x:c r="C65" s="10">
        <x:v>58764</x:v>
      </x:c>
      <x:c r="D65" s="10">
        <x:v>154300</x:v>
      </x:c>
    </x:row>
    <x:row r="66" s="6" customFormat="1">
      <x:c r="A66" s="8" t="s">
        <x:v>66</x:v>
      </x:c>
      <x:c r="B66" s="10">
        <x:v>7237</x:v>
      </x:c>
      <x:c r="C66" s="10">
        <x:v>35066</x:v>
      </x:c>
      <x:c r="D66" s="10">
        <x:v>85771</x:v>
      </x:c>
    </x:row>
    <x:row r="67" s="6" customFormat="1">
      <x:c r="A67" s="8" t="s">
        <x:v>67</x:v>
      </x:c>
      <x:c r="B67" s="10">
        <x:v>17521</x:v>
      </x:c>
      <x:c r="C67" s="10">
        <x:v>98794</x:v>
      </x:c>
      <x:c r="D67" s="10">
        <x:v>221748</x:v>
      </x:c>
    </x:row>
    <x:row r="68" s="6" customFormat="1">
      <x:c r="A68" s="8" t="s">
        <x:v>68</x:v>
      </x:c>
      <x:c r="B68" s="10">
        <x:v>6559</x:v>
      </x:c>
      <x:c r="C68" s="10">
        <x:v>43402</x:v>
      </x:c>
      <x:c r="D68" s="10">
        <x:v>102453</x:v>
      </x:c>
    </x:row>
    <x:row r="69" s="4" customFormat="1">
      <x:c r="A69" s="5" t="s">
        <x:v>69</x:v>
      </x:c>
      <x:c r="B69" s="5"/>
      <x:c r="C69" s="5"/>
      <x:c r="D69" s="5"/>
    </x:row>
    <x:row r="70" s="6" customFormat="1">
      <x:c r="A70" s="8" t="s">
        <x:v>70</x:v>
      </x:c>
      <x:c r="B70" s="10">
        <x:v>35901</x:v>
      </x:c>
      <x:c r="C70" s="10">
        <x:v>207204</x:v>
      </x:c>
      <x:c r="D70" s="10">
        <x:v>523750</x:v>
      </x:c>
    </x:row>
    <x:row r="71" s="6" customFormat="1">
      <x:c r="A71" s="8" t="s">
        <x:v>71</x:v>
      </x:c>
      <x:c r="B71" s="10">
        <x:v>3364</x:v>
      </x:c>
      <x:c r="C71" s="10">
        <x:v>16199</x:v>
      </x:c>
      <x:c r="D71" s="10">
        <x:v>37525</x:v>
      </x:c>
    </x:row>
    <x:row r="72" s="6" customFormat="1">
      <x:c r="A72" s="8" t="s">
        <x:v>72</x:v>
      </x:c>
      <x:c r="B72" s="10">
        <x:v>14187</x:v>
      </x:c>
      <x:c r="C72" s="10">
        <x:v>81004</x:v>
      </x:c>
      <x:c r="D72" s="10">
        <x:v>236123</x:v>
      </x:c>
    </x:row>
    <x:row r="73" s="6" customFormat="1">
      <x:c r="A73" s="8" t="s">
        <x:v>73</x:v>
      </x:c>
      <x:c r="B73" s="10">
        <x:v>28</x:v>
      </x:c>
      <x:c r="C73" s="10">
        <x:v>84</x:v>
      </x:c>
      <x:c r="D73" s="10">
        <x:v>239</x:v>
      </x:c>
    </x:row>
    <x:row r="74" s="4" customFormat="1">
      <x:c r="A74" s="5" t="s">
        <x:v>74</x:v>
      </x:c>
      <x:c r="B74" s="5"/>
      <x:c r="C74" s="5"/>
      <x:c r="D74" s="5"/>
    </x:row>
    <x:row r="75" s="6" customFormat="1">
      <x:c r="A75" s="8" t="s">
        <x:v>75</x:v>
      </x:c>
      <x:c r="B75" s="10">
        <x:v>13111</x:v>
      </x:c>
      <x:c r="C75" s="10">
        <x:v>76163</x:v>
      </x:c>
      <x:c r="D75" s="10">
        <x:v>197930</x:v>
      </x:c>
    </x:row>
    <x:row r="76" s="6" customFormat="1">
      <x:c r="A76" s="8" t="s">
        <x:v>76</x:v>
      </x:c>
      <x:c r="B76" s="10">
        <x:v>12846</x:v>
      </x:c>
      <x:c r="C76" s="10">
        <x:v>75659</x:v>
      </x:c>
      <x:c r="D76" s="10">
        <x:v>190174</x:v>
      </x:c>
    </x:row>
    <x:row r="77" s="6" customFormat="1">
      <x:c r="A77" s="8" t="s">
        <x:v>77</x:v>
      </x:c>
      <x:c r="B77" s="10">
        <x:v>3279</x:v>
      </x:c>
      <x:c r="C77" s="10">
        <x:v>19248</x:v>
      </x:c>
      <x:c r="D77" s="10">
        <x:v>54974</x:v>
      </x:c>
    </x:row>
    <x:row r="78" s="4" customFormat="1">
      <x:c r="A78" s="5" t="s">
        <x:v>78</x:v>
      </x:c>
      <x:c r="B78" s="5"/>
      <x:c r="C78" s="5"/>
      <x:c r="D78" s="5"/>
    </x:row>
    <x:row r="79" s="6" customFormat="1">
      <x:c r="A79" s="8" t="s">
        <x:v>79</x:v>
      </x:c>
      <x:c r="B79" s="10">
        <x:v>17209</x:v>
      </x:c>
      <x:c r="C79" s="10">
        <x:v>78438</x:v>
      </x:c>
      <x:c r="D79" s="10">
        <x:v>166676</x:v>
      </x:c>
    </x:row>
    <x:row r="80" s="6" customFormat="1">
      <x:c r="A80" s="8" t="s">
        <x:v>80</x:v>
      </x:c>
      <x:c r="B80" s="10">
        <x:v>9647</x:v>
      </x:c>
      <x:c r="C80" s="10">
        <x:v>55360</x:v>
      </x:c>
      <x:c r="D80" s="10">
        <x:v>130447</x:v>
      </x:c>
    </x:row>
    <x:row r="81" s="6" customFormat="1">
      <x:c r="A81" s="8" t="s">
        <x:v>81</x:v>
      </x:c>
      <x:c r="B81" s="10">
        <x:v>2889</x:v>
      </x:c>
      <x:c r="C81" s="10">
        <x:v>19424</x:v>
      </x:c>
      <x:c r="D81" s="10">
        <x:v>54481</x:v>
      </x:c>
    </x:row>
    <x:row r="82" s="6" customFormat="1">
      <x:c r="A82" s="8" t="s">
        <x:v>82</x:v>
      </x:c>
      <x:c r="B82" s="10">
        <x:v>1598</x:v>
      </x:c>
      <x:c r="C82" s="10">
        <x:v>12283</x:v>
      </x:c>
      <x:c r="D82" s="10">
        <x:v>38067</x:v>
      </x:c>
    </x:row>
    <x:row r="83" s="6" customFormat="1">
      <x:c r="A83" s="8" t="s">
        <x:v>83</x:v>
      </x:c>
      <x:c r="B83" s="10">
        <x:v>736</x:v>
      </x:c>
      <x:c r="C83" s="10">
        <x:v>5083</x:v>
      </x:c>
      <x:c r="D83" s="10">
        <x:v>17209</x:v>
      </x:c>
    </x:row>
    <x:row r="84" s="6" customFormat="1">
      <x:c r="A84" s="8" t="s">
        <x:v>84</x:v>
      </x:c>
      <x:c r="B84" s="10">
        <x:v>242</x:v>
      </x:c>
      <x:c r="C84" s="10">
        <x:v>1962</x:v>
      </x:c>
      <x:c r="D84" s="10">
        <x:v>7054</x:v>
      </x:c>
    </x:row>
    <x:row r="85" s="6" customFormat="1">
      <x:c r="A85" s="8" t="s">
        <x:v>85</x:v>
      </x:c>
      <x:c r="B85" s="10">
        <x:v>153</x:v>
      </x:c>
      <x:c r="C85" s="10">
        <x:v>1196</x:v>
      </x:c>
      <x:c r="D85" s="10">
        <x:v>4585</x:v>
      </x:c>
    </x:row>
    <x:row r="86" s="4" customFormat="1">
      <x:c r="A86" s="5" t="s">
        <x:v>86</x:v>
      </x:c>
      <x:c r="B86" s="5"/>
      <x:c r="C86" s="5"/>
      <x:c r="D86" s="5"/>
    </x:row>
    <x:row r="87" s="6" customFormat="1">
      <x:c r="A87" s="8" t="s">
        <x:v>87</x:v>
      </x:c>
      <x:c r="B87" s="10">
        <x:v>5994</x:v>
      </x:c>
      <x:c r="C87" s="10">
        <x:v>43814</x:v>
      </x:c>
      <x:c r="D87" s="10">
        <x:v>119794</x:v>
      </x:c>
    </x:row>
    <x:row r="88" s="6" customFormat="1">
      <x:c r="A88" s="8" t="s">
        <x:v>88</x:v>
      </x:c>
      <x:c r="B88" s="10">
        <x:v>4346</x:v>
      </x:c>
      <x:c r="C88" s="10">
        <x:v>29229</x:v>
      </x:c>
      <x:c r="D88" s="10">
        <x:v>75742</x:v>
      </x:c>
    </x:row>
    <x:row r="89" s="6" customFormat="1">
      <x:c r="A89" s="8" t="s">
        <x:v>89</x:v>
      </x:c>
      <x:c r="B89" s="10">
        <x:v>1648</x:v>
      </x:c>
      <x:c r="C89" s="10">
        <x:v>14585</x:v>
      </x:c>
      <x:c r="D89" s="10">
        <x:v>44052</x:v>
      </x:c>
    </x:row>
    <x:row r="90" s="4" customFormat="1">
      <x:c r="A90" s="5" t="s">
        <x:v>90</x:v>
      </x:c>
      <x:c r="B90" s="5"/>
      <x:c r="C90" s="5"/>
      <x:c r="D90" s="5"/>
    </x:row>
    <x:row r="91" s="6" customFormat="1">
      <x:c r="A91" s="8" t="s">
        <x:v>91</x:v>
      </x:c>
      <x:c r="B91" s="10">
        <x:v>4823</x:v>
      </x:c>
      <x:c r="C91" s="10">
        <x:v>37940</x:v>
      </x:c>
      <x:c r="D91" s="10">
        <x:v>110765</x:v>
      </x:c>
    </x:row>
    <x:row r="92" s="6" customFormat="1">
      <x:c r="A92" s="8" t="s">
        <x:v>92</x:v>
      </x:c>
      <x:c r="B92" s="10">
        <x:v>2281</x:v>
      </x:c>
      <x:c r="C92" s="10">
        <x:v>18379</x:v>
      </x:c>
      <x:c r="D92" s="10">
        <x:v>56232</x:v>
      </x:c>
    </x:row>
    <x:row r="93" s="6" customFormat="1">
      <x:c r="A93" s="8" t="s">
        <x:v>93</x:v>
      </x:c>
      <x:c r="B93" s="10">
        <x:v>9797</x:v>
      </x:c>
      <x:c r="C93" s="10">
        <x:v>56752</x:v>
      </x:c>
      <x:c r="D93" s="10">
        <x:v>126549</x:v>
      </x:c>
    </x:row>
    <x:row r="94" s="6" customFormat="1">
      <x:c r="A94" s="8" t="s">
        <x:v>94</x:v>
      </x:c>
      <x:c r="B94" s="10">
        <x:v>20562</x:v>
      </x:c>
      <x:c r="C94" s="10">
        <x:v>85218</x:v>
      </x:c>
      <x:c r="D94" s="10">
        <x:v>182006</x:v>
      </x:c>
    </x:row>
    <x:row r="95" s="4" customFormat="1">
      <x:c r="A95" s="5" t="s">
        <x:v>95</x:v>
      </x:c>
      <x:c r="B95" s="5"/>
      <x:c r="C95" s="5"/>
      <x:c r="D95" s="5"/>
    </x:row>
    <x:row r="96" s="6" customFormat="1">
      <x:c r="A96" s="8" t="s">
        <x:v>96</x:v>
      </x:c>
      <x:c r="B96" s="10">
        <x:v>60</x:v>
      </x:c>
      <x:c r="C96" s="10">
        <x:v>381</x:v>
      </x:c>
      <x:c r="D96" s="10">
        <x:v>1364</x:v>
      </x:c>
    </x:row>
    <x:row r="97" s="6" customFormat="1">
      <x:c r="A97" s="8" t="s">
        <x:v>97</x:v>
      </x:c>
      <x:c r="B97" s="10">
        <x:v>30</x:v>
      </x:c>
      <x:c r="C97" s="10">
        <x:v>241</x:v>
      </x:c>
      <x:c r="D97" s="10">
        <x:v>891</x:v>
      </x:c>
    </x:row>
    <x:row r="98" s="6" customFormat="1">
      <x:c r="A98" s="8" t="s">
        <x:v>98</x:v>
      </x:c>
      <x:c r="B98" s="10">
        <x:v>3</x:v>
      </x:c>
      <x:c r="C98" s="10">
        <x:v>13</x:v>
      </x:c>
      <x:c r="D98" s="10">
        <x:v>264</x:v>
      </x:c>
    </x:row>
    <x:row r="99" s="6" customFormat="1">
      <x:c r="A99" s="8" t="s">
        <x:v>99</x:v>
      </x:c>
      <x:c r="B99" s="10">
        <x:v>2</x:v>
      </x:c>
      <x:c r="C99" s="10">
        <x:v>205</x:v>
      </x:c>
      <x:c r="D99" s="10">
        <x:v>601</x:v>
      </x:c>
    </x:row>
    <x:row r="100" s="6" customFormat="1">
      <x:c r="A100" s="8" t="s">
        <x:v>100</x:v>
      </x:c>
      <x:c r="B100" s="10">
        <x:v>204</x:v>
      </x:c>
      <x:c r="C100" s="10">
        <x:v>649</x:v>
      </x:c>
      <x:c r="D100" s="10">
        <x:v>1596</x:v>
      </x:c>
    </x:row>
    <x:row r="101" s="6" customFormat="1">
      <x:c r="A101" s="8" t="s">
        <x:v>101</x:v>
      </x:c>
      <x:c r="B101" s="10">
        <x:v>605</x:v>
      </x:c>
      <x:c r="C101" s="10">
        <x:v>6389</x:v>
      </x:c>
      <x:c r="D101" s="10">
        <x:v>21697</x:v>
      </x:c>
    </x:row>
    <x:row r="102" s="6" customFormat="1">
      <x:c r="A102" s="8" t="s">
        <x:v>102</x:v>
      </x:c>
      <x:c r="B102" s="10">
        <x:v>2198</x:v>
      </x:c>
      <x:c r="C102" s="10">
        <x:v>21268</x:v>
      </x:c>
      <x:c r="D102" s="10">
        <x:v>58118</x:v>
      </x:c>
    </x:row>
    <x:row r="103" s="4" customFormat="1">
      <x:c r="A103" s="5" t="s">
        <x:v>103</x:v>
      </x:c>
      <x:c r="B103" s="5"/>
      <x:c r="C103" s="5"/>
      <x:c r="D103" s="5"/>
    </x:row>
    <x:row r="104" s="6" customFormat="1">
      <x:c r="A104" s="8" t="s">
        <x:v>104</x:v>
      </x:c>
      <x:c r="B104" s="10">
        <x:v>11421</x:v>
      </x:c>
      <x:c r="C104" s="10">
        <x:v>71404</x:v>
      </x:c>
      <x:c r="D104" s="10">
        <x:v>177312</x:v>
      </x:c>
    </x:row>
    <x:row r="105" s="6" customFormat="1">
      <x:c r="A105" s="8" t="s">
        <x:v>105</x:v>
      </x:c>
      <x:c r="B105" s="10">
        <x:v>3128</x:v>
      </x:c>
      <x:c r="C105" s="10">
        <x:v>20616</x:v>
      </x:c>
      <x:c r="D105" s="10">
        <x:v>48372</x:v>
      </x:c>
    </x:row>
    <x:row r="106" s="6" customFormat="1">
      <x:c r="A106" s="8" t="s">
        <x:v>106</x:v>
      </x:c>
      <x:c r="B106" s="10">
        <x:v>4319</x:v>
      </x:c>
      <x:c r="C106" s="10">
        <x:v>25266</x:v>
      </x:c>
      <x:c r="D106" s="10">
        <x:v>57705</x:v>
      </x:c>
    </x:row>
    <x:row r="107" s="6" customFormat="1">
      <x:c r="A107" s="8" t="s">
        <x:v>107</x:v>
      </x:c>
      <x:c r="B107" s="10">
        <x:v>3446</x:v>
      </x:c>
      <x:c r="C107" s="10">
        <x:v>25603</x:v>
      </x:c>
      <x:c r="D107" s="10">
        <x:v>53326</x:v>
      </x:c>
    </x:row>
    <x:row r="108" s="6" customFormat="1">
      <x:c r="A108" s="8" t="s">
        <x:v>108</x:v>
      </x:c>
      <x:c r="B108" s="10">
        <x:v>3555</x:v>
      </x:c>
      <x:c r="C108" s="10">
        <x:v>17064</x:v>
      </x:c>
      <x:c r="D108" s="10">
        <x:v>42566</x:v>
      </x:c>
    </x:row>
    <x:row r="109" s="6" customFormat="1">
      <x:c r="A109" s="8" t="s">
        <x:v>109</x:v>
      </x:c>
      <x:c r="B109" s="10">
        <x:v>1692</x:v>
      </x:c>
      <x:c r="C109" s="10">
        <x:v>9174</x:v>
      </x:c>
      <x:c r="D109" s="10">
        <x:v>25193</x:v>
      </x:c>
    </x:row>
    <x:row r="110" s="6" customFormat="1">
      <x:c r="A110" s="8" t="s">
        <x:v>110</x:v>
      </x:c>
      <x:c r="B110" s="10">
        <x:v>1765</x:v>
      </x:c>
      <x:c r="C110" s="10">
        <x:v>7022</x:v>
      </x:c>
      <x:c r="D110" s="10">
        <x:v>20898</x:v>
      </x:c>
    </x:row>
    <x:row r="111" s="6" customFormat="1">
      <x:c r="A111" s="8" t="s">
        <x:v>111</x:v>
      </x:c>
      <x:c r="B111" s="10">
        <x:v>8190</x:v>
      </x:c>
      <x:c r="C111" s="10">
        <x:v>22538</x:v>
      </x:c>
      <x:c r="D111" s="10">
        <x:v>51448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2026-09-15T04:37:30Z</dcterms:created>
  <dcterms:modified xsi:type="dcterms:W3CDTF">2026-09-15T04:37:30Z</dcterms:modified>
</cp:coreProperties>
</file>